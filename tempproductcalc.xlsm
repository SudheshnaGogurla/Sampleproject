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andregistryuk-my.sharepoint.com/personal/ramu_gorgula_landregistry_gov_uk/Documents/Downloads/"/>
    </mc:Choice>
  </mc:AlternateContent>
  <xr:revisionPtr revIDLastSave="204" documentId="8_{C7A1405B-7D5B-45C0-A29B-A1FC74A0E059}" xr6:coauthVersionLast="47" xr6:coauthVersionMax="47" xr10:uidLastSave="{7025ED50-9603-4B0B-9A6E-F2EBCAF3B961}"/>
  <bookViews>
    <workbookView xWindow="-108" yWindow="-108" windowWidth="23256" windowHeight="12456" xr2:uid="{563E68E4-9CF0-4CB7-A470-93512FA18D8F}"/>
  </bookViews>
  <sheets>
    <sheet name="RawData" sheetId="1" r:id="rId1"/>
    <sheet name="PricePerPack" sheetId="2" r:id="rId2"/>
    <sheet name="MarginPrices" sheetId="3" r:id="rId3"/>
    <sheet name="Log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D4" i="3"/>
  <c r="C4" i="3"/>
  <c r="B4" i="3"/>
  <c r="E3" i="3"/>
  <c r="D3" i="3"/>
  <c r="C3" i="3"/>
  <c r="B3" i="3"/>
  <c r="E2" i="3"/>
  <c r="D2" i="3"/>
  <c r="C2" i="3"/>
  <c r="B2" i="3"/>
  <c r="B7" i="2"/>
  <c r="B7" i="3" s="1"/>
  <c r="B6" i="2"/>
  <c r="B6" i="3" s="1"/>
  <c r="B5" i="2"/>
  <c r="B5" i="3" s="1"/>
  <c r="B4" i="2"/>
  <c r="B3" i="2"/>
  <c r="B2" i="2"/>
  <c r="D5" i="3" l="1"/>
  <c r="E5" i="3"/>
  <c r="C5" i="3"/>
  <c r="E6" i="3"/>
  <c r="D6" i="3"/>
  <c r="C6" i="3"/>
  <c r="D7" i="3"/>
  <c r="E7" i="3"/>
  <c r="C7" i="3"/>
</calcChain>
</file>

<file path=xl/sharedStrings.xml><?xml version="1.0" encoding="utf-8"?>
<sst xmlns="http://schemas.openxmlformats.org/spreadsheetml/2006/main" count="42" uniqueCount="26">
  <si>
    <t>Product Name</t>
  </si>
  <si>
    <t>amchur powder</t>
  </si>
  <si>
    <t>nido milk powder</t>
  </si>
  <si>
    <t>pink salt</t>
  </si>
  <si>
    <t>box_quantity</t>
  </si>
  <si>
    <t>weight</t>
  </si>
  <si>
    <t>100g</t>
  </si>
  <si>
    <t>400g</t>
  </si>
  <si>
    <t>unitprice</t>
  </si>
  <si>
    <t>Price per pack</t>
  </si>
  <si>
    <t>30% margin</t>
  </si>
  <si>
    <t>35% margin</t>
  </si>
  <si>
    <t>40% margin</t>
  </si>
  <si>
    <t>RawData' sheet found.</t>
  </si>
  <si>
    <t>Cleared 'PricePerPack' sheet contents.</t>
  </si>
  <si>
    <t>Cleared 'MarginPrices' sheet contents.</t>
  </si>
  <si>
    <t>Filled 'PricePerPack' sheet with product names and formulas.</t>
  </si>
  <si>
    <t>Unit price calculated as: unitprice (RawData!D) divided by box_quantity (RawData!B).</t>
  </si>
  <si>
    <t>Filled 'MarginPrices' sheet with formulas for margins.</t>
  </si>
  <si>
    <t>Margin prices calculated by multiplying price per pack by:</t>
  </si>
  <si>
    <t xml:space="preserve">  - 1.3 for 30% margin</t>
  </si>
  <si>
    <t xml:space="preserve">  - 1.35 for 35% margin</t>
  </si>
  <si>
    <t xml:space="preserve">  - 1.4 for 40% margin</t>
  </si>
  <si>
    <t>Macro run completed successfully.</t>
  </si>
  <si>
    <t>Log of Macro Run on 03/07/2025 11:54:39</t>
  </si>
  <si>
    <t>Found 6 data rows in 'RawData'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</si>
</sst>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4</xdr:row>
      <xdr:rowOff>45720</xdr:rowOff>
    </xdr:from>
    <xdr:to>
      <xdr:col>10</xdr:col>
      <xdr:colOff>365760</xdr:colOff>
      <xdr:row>6</xdr:row>
      <xdr:rowOff>137160</xdr:rowOff>
    </xdr:to>
    <xdr:sp macro="[0]!UpdatePriceSheets_WithDetailedLogOnly" textlink="">
      <xdr:nvSpPr>
        <xdr:cNvPr id="2" name="Rectangle 1">
          <a:extLst>
            <a:ext uri="{FF2B5EF4-FFF2-40B4-BE49-F238E27FC236}">
              <a16:creationId xmlns:a16="http://schemas.microsoft.com/office/drawing/2014/main" id="{6E906AC2-E9A6-FC2D-C605-8E653FBFCF3B}"/>
            </a:ext>
          </a:extLst>
        </xdr:cNvPr>
        <xdr:cNvSpPr/>
      </xdr:nvSpPr>
      <xdr:spPr>
        <a:xfrm>
          <a:off x="4602480" y="777240"/>
          <a:ext cx="262128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800" baseline="0"/>
            <a:t> Create Price and Margin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F4C85-E42A-4895-B213-46F56442D954}">
  <sheetPr codeName="Sheet1"/>
  <dimension ref="A1:D23"/>
  <sheetViews>
    <sheetView showGridLines="0" tabSelected="1" workbookViewId="0">
      <selection activeCell="A5" sqref="A5:D7"/>
    </sheetView>
  </sheetViews>
  <sheetFormatPr defaultRowHeight="14.4" x14ac:dyDescent="0.3"/>
  <cols>
    <col min="1" max="1" width="14.5546875" style="1" bestFit="1" customWidth="1"/>
    <col min="2" max="2" width="10.88671875" style="1" bestFit="1" customWidth="1"/>
    <col min="3" max="4" width="8.88671875" style="1"/>
    <col min="5" max="5" width="12.33203125" style="1" bestFit="1" customWidth="1"/>
    <col min="6" max="16384" width="8.88671875" style="1"/>
  </cols>
  <sheetData>
    <row r="1" spans="1:4" x14ac:dyDescent="0.3">
      <c r="A1" s="2" t="s">
        <v>0</v>
      </c>
      <c r="B1" s="2" t="s">
        <v>4</v>
      </c>
      <c r="C1" s="2" t="s">
        <v>5</v>
      </c>
      <c r="D1" s="2" t="s">
        <v>8</v>
      </c>
    </row>
    <row r="2" spans="1:4" x14ac:dyDescent="0.3">
      <c r="A2" s="2" t="s">
        <v>1</v>
      </c>
      <c r="B2" s="2">
        <v>10</v>
      </c>
      <c r="C2" s="2" t="s">
        <v>6</v>
      </c>
      <c r="D2" s="2">
        <v>11.99</v>
      </c>
    </row>
    <row r="3" spans="1:4" x14ac:dyDescent="0.3">
      <c r="A3" s="2" t="s">
        <v>2</v>
      </c>
      <c r="B3" s="2">
        <v>6</v>
      </c>
      <c r="C3" s="2" t="s">
        <v>7</v>
      </c>
      <c r="D3" s="2">
        <v>22.95</v>
      </c>
    </row>
    <row r="4" spans="1:4" x14ac:dyDescent="0.3">
      <c r="A4" s="2" t="s">
        <v>3</v>
      </c>
      <c r="B4" s="2">
        <v>20</v>
      </c>
      <c r="C4" s="2" t="s">
        <v>7</v>
      </c>
      <c r="D4" s="2">
        <v>9.85</v>
      </c>
    </row>
    <row r="5" spans="1:4" x14ac:dyDescent="0.3">
      <c r="A5" s="2"/>
      <c r="B5" s="2"/>
      <c r="C5" s="2"/>
      <c r="D5" s="2"/>
    </row>
    <row r="6" spans="1:4" x14ac:dyDescent="0.3">
      <c r="A6" s="2"/>
      <c r="B6" s="2"/>
      <c r="C6" s="2"/>
      <c r="D6" s="2"/>
    </row>
    <row r="7" spans="1:4" x14ac:dyDescent="0.3">
      <c r="A7" s="2"/>
      <c r="B7" s="2"/>
      <c r="C7" s="2"/>
      <c r="D7" s="2"/>
    </row>
    <row r="8" spans="1:4" x14ac:dyDescent="0.3">
      <c r="A8" s="3"/>
      <c r="B8" s="3"/>
      <c r="C8" s="3"/>
      <c r="D8" s="3"/>
    </row>
    <row r="9" spans="1:4" x14ac:dyDescent="0.3">
      <c r="A9" s="3"/>
      <c r="B9" s="3"/>
      <c r="C9" s="3"/>
      <c r="D9" s="3"/>
    </row>
    <row r="10" spans="1:4" x14ac:dyDescent="0.3">
      <c r="A10" s="3"/>
      <c r="B10" s="3"/>
      <c r="C10" s="3"/>
      <c r="D10" s="3"/>
    </row>
    <row r="11" spans="1:4" x14ac:dyDescent="0.3">
      <c r="A11" s="3"/>
      <c r="B11" s="3"/>
      <c r="C11" s="3"/>
      <c r="D11" s="3"/>
    </row>
    <row r="12" spans="1:4" x14ac:dyDescent="0.3">
      <c r="A12" s="3"/>
      <c r="B12" s="3"/>
      <c r="C12" s="3"/>
      <c r="D12" s="3"/>
    </row>
    <row r="13" spans="1:4" x14ac:dyDescent="0.3">
      <c r="A13" s="3"/>
      <c r="B13" s="3"/>
      <c r="C13" s="3"/>
      <c r="D13" s="3"/>
    </row>
    <row r="14" spans="1:4" x14ac:dyDescent="0.3">
      <c r="A14" s="3"/>
      <c r="B14" s="3"/>
      <c r="C14" s="3"/>
      <c r="D14" s="3"/>
    </row>
    <row r="15" spans="1:4" x14ac:dyDescent="0.3">
      <c r="A15" s="3"/>
      <c r="B15" s="3"/>
      <c r="C15" s="3"/>
      <c r="D15" s="3"/>
    </row>
    <row r="16" spans="1:4" x14ac:dyDescent="0.3">
      <c r="A16" s="3"/>
      <c r="B16" s="3"/>
      <c r="C16" s="3"/>
      <c r="D16" s="3"/>
    </row>
    <row r="17" spans="1:4" x14ac:dyDescent="0.3">
      <c r="A17" s="3"/>
      <c r="B17" s="3"/>
      <c r="C17" s="3"/>
      <c r="D17" s="3"/>
    </row>
    <row r="18" spans="1:4" x14ac:dyDescent="0.3">
      <c r="A18" s="3"/>
      <c r="B18" s="3"/>
      <c r="C18" s="3"/>
      <c r="D18" s="3"/>
    </row>
    <row r="19" spans="1:4" x14ac:dyDescent="0.3">
      <c r="A19" s="3"/>
      <c r="B19" s="3"/>
      <c r="C19" s="3"/>
      <c r="D19" s="3"/>
    </row>
    <row r="20" spans="1:4" x14ac:dyDescent="0.3">
      <c r="A20" s="3"/>
      <c r="B20" s="3"/>
      <c r="C20" s="3"/>
      <c r="D20" s="3"/>
    </row>
    <row r="21" spans="1:4" x14ac:dyDescent="0.3">
      <c r="A21" s="3"/>
      <c r="B21" s="3"/>
      <c r="C21" s="3"/>
      <c r="D21" s="3"/>
    </row>
    <row r="22" spans="1:4" x14ac:dyDescent="0.3">
      <c r="A22" s="3"/>
      <c r="B22" s="3"/>
      <c r="C22" s="3"/>
      <c r="D22" s="3"/>
    </row>
    <row r="23" spans="1:4" x14ac:dyDescent="0.3">
      <c r="A23" s="3"/>
      <c r="B23" s="3"/>
      <c r="C23" s="3"/>
      <c r="D23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EEB31-6198-4EF9-8DEF-C3D07F35680A}">
  <sheetPr codeName="Sheet2"/>
  <dimension ref="A1:B7"/>
  <sheetViews>
    <sheetView workbookViewId="0">
      <selection activeCell="B3" sqref="B3"/>
    </sheetView>
  </sheetViews>
  <sheetFormatPr defaultRowHeight="14.4" x14ac:dyDescent="0.3"/>
  <cols>
    <col min="1" max="1" width="14.5546875" bestFit="1" customWidth="1"/>
  </cols>
  <sheetData>
    <row r="1" spans="1:2" x14ac:dyDescent="0.3">
      <c r="A1" t="s">
        <v>0</v>
      </c>
      <c r="B1" t="s">
        <v>9</v>
      </c>
    </row>
    <row r="2" spans="1:2" x14ac:dyDescent="0.3">
      <c r="A2" t="s">
        <v>1</v>
      </c>
      <c r="B2">
        <f>RawData!D2/RawData!B2</f>
        <v>1.1990000000000001</v>
      </c>
    </row>
    <row r="3" spans="1:2" x14ac:dyDescent="0.3">
      <c r="A3" t="s">
        <v>2</v>
      </c>
      <c r="B3">
        <f>RawData!D3/RawData!B3</f>
        <v>3.8249999999999997</v>
      </c>
    </row>
    <row r="4" spans="1:2" x14ac:dyDescent="0.3">
      <c r="A4" t="s">
        <v>3</v>
      </c>
      <c r="B4">
        <f>RawData!D4/RawData!B4</f>
        <v>0.49249999999999999</v>
      </c>
    </row>
    <row r="5" spans="1:2" x14ac:dyDescent="0.3">
      <c r="A5" t="s">
        <v>1</v>
      </c>
      <c r="B5" t="e">
        <f>RawData!D5/RawData!B5</f>
        <v>#DIV/0!</v>
      </c>
    </row>
    <row r="6" spans="1:2" x14ac:dyDescent="0.3">
      <c r="A6" t="s">
        <v>2</v>
      </c>
      <c r="B6" t="e">
        <f>RawData!D6/RawData!B6</f>
        <v>#DIV/0!</v>
      </c>
    </row>
    <row r="7" spans="1:2" x14ac:dyDescent="0.3">
      <c r="A7" t="s">
        <v>3</v>
      </c>
      <c r="B7" t="e">
        <f>RawData!D7/RawData!B7</f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3C873-0541-403F-8BDD-0CE010760336}">
  <sheetPr codeName="Sheet3"/>
  <dimension ref="A1:E7"/>
  <sheetViews>
    <sheetView workbookViewId="0">
      <selection activeCell="E2" sqref="E2"/>
    </sheetView>
  </sheetViews>
  <sheetFormatPr defaultRowHeight="14.4" x14ac:dyDescent="0.3"/>
  <cols>
    <col min="1" max="1" width="14.5546875" bestFit="1" customWidth="1"/>
    <col min="2" max="2" width="12.44140625" bestFit="1" customWidth="1"/>
    <col min="3" max="5" width="10.44140625" bestFit="1" customWidth="1"/>
  </cols>
  <sheetData>
    <row r="1" spans="1:5" x14ac:dyDescent="0.3">
      <c r="A1" t="s">
        <v>0</v>
      </c>
      <c r="B1" t="s">
        <v>9</v>
      </c>
      <c r="C1" t="s">
        <v>10</v>
      </c>
      <c r="D1" t="s">
        <v>11</v>
      </c>
      <c r="E1" t="s">
        <v>12</v>
      </c>
    </row>
    <row r="2" spans="1:5" x14ac:dyDescent="0.3">
      <c r="A2" t="s">
        <v>1</v>
      </c>
      <c r="B2">
        <f>PricePerPack!B2</f>
        <v>1.1990000000000001</v>
      </c>
      <c r="C2">
        <f>B2*1.3</f>
        <v>1.5587000000000002</v>
      </c>
      <c r="D2">
        <f>B2*1.35</f>
        <v>1.6186500000000001</v>
      </c>
      <c r="E2">
        <f>B2*1.4</f>
        <v>1.6786000000000001</v>
      </c>
    </row>
    <row r="3" spans="1:5" x14ac:dyDescent="0.3">
      <c r="A3" t="s">
        <v>2</v>
      </c>
      <c r="B3">
        <f>PricePerPack!B3</f>
        <v>3.8249999999999997</v>
      </c>
      <c r="C3">
        <f>B3*1.3</f>
        <v>4.9725000000000001</v>
      </c>
      <c r="D3">
        <f>B3*1.35</f>
        <v>5.1637500000000003</v>
      </c>
      <c r="E3">
        <f>B3*1.4</f>
        <v>5.3549999999999995</v>
      </c>
    </row>
    <row r="4" spans="1:5" x14ac:dyDescent="0.3">
      <c r="A4" t="s">
        <v>3</v>
      </c>
      <c r="B4">
        <f>PricePerPack!B4</f>
        <v>0.49249999999999999</v>
      </c>
      <c r="C4">
        <f>B4*1.3</f>
        <v>0.64024999999999999</v>
      </c>
      <c r="D4">
        <f>B4*1.35</f>
        <v>0.66487499999999999</v>
      </c>
      <c r="E4">
        <f>B4*1.4</f>
        <v>0.6895</v>
      </c>
    </row>
    <row r="5" spans="1:5" x14ac:dyDescent="0.3">
      <c r="A5" t="s">
        <v>1</v>
      </c>
      <c r="B5" t="e">
        <f>PricePerPack!B5</f>
        <v>#DIV/0!</v>
      </c>
      <c r="C5" t="e">
        <f>B5*1.3</f>
        <v>#DIV/0!</v>
      </c>
      <c r="D5" t="e">
        <f>B5*1.35</f>
        <v>#DIV/0!</v>
      </c>
      <c r="E5" t="e">
        <f>B5*1.4</f>
        <v>#DIV/0!</v>
      </c>
    </row>
    <row r="6" spans="1:5" x14ac:dyDescent="0.3">
      <c r="A6" t="s">
        <v>2</v>
      </c>
      <c r="B6" t="e">
        <f>PricePerPack!B6</f>
        <v>#DIV/0!</v>
      </c>
      <c r="C6" t="e">
        <f>B6*1.3</f>
        <v>#DIV/0!</v>
      </c>
      <c r="D6" t="e">
        <f>B6*1.35</f>
        <v>#DIV/0!</v>
      </c>
      <c r="E6" t="e">
        <f>B6*1.4</f>
        <v>#DIV/0!</v>
      </c>
    </row>
    <row r="7" spans="1:5" x14ac:dyDescent="0.3">
      <c r="A7" t="s">
        <v>3</v>
      </c>
      <c r="B7" t="e">
        <f>PricePerPack!B7</f>
        <v>#DIV/0!</v>
      </c>
      <c r="C7" t="e">
        <f>B7*1.3</f>
        <v>#DIV/0!</v>
      </c>
      <c r="D7" t="e">
        <f>B7*1.35</f>
        <v>#DIV/0!</v>
      </c>
      <c r="E7" t="e">
        <f>B7*1.4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AD4A-5336-4726-AAEB-D57C1132C969}">
  <sheetPr codeName="Sheet7"/>
  <dimension ref="A1:A15"/>
  <sheetViews>
    <sheetView workbookViewId="0">
      <selection activeCell="A17" sqref="A17"/>
    </sheetView>
  </sheetViews>
  <sheetFormatPr defaultRowHeight="14.4" x14ac:dyDescent="0.3"/>
  <cols>
    <col min="1" max="1" width="44.88671875" bestFit="1" customWidth="1"/>
  </cols>
  <sheetData>
    <row r="1" spans="1:1" x14ac:dyDescent="0.3">
      <c r="A1" t="s">
        <v>24</v>
      </c>
    </row>
    <row r="3" spans="1:1" x14ac:dyDescent="0.3">
      <c r="A3" s="4" t="s">
        <v>13</v>
      </c>
    </row>
    <row r="4" spans="1:1" x14ac:dyDescent="0.3">
      <c r="A4" t="s">
        <v>14</v>
      </c>
    </row>
    <row r="5" spans="1:1" x14ac:dyDescent="0.3">
      <c r="A5" t="s">
        <v>15</v>
      </c>
    </row>
    <row r="6" spans="1:1" x14ac:dyDescent="0.3">
      <c r="A6" t="s">
        <v>25</v>
      </c>
    </row>
    <row r="7" spans="1:1" x14ac:dyDescent="0.3">
      <c r="A7" t="s">
        <v>16</v>
      </c>
    </row>
    <row r="8" spans="1:1" x14ac:dyDescent="0.3">
      <c r="A8" t="s">
        <v>17</v>
      </c>
    </row>
    <row r="9" spans="1:1" x14ac:dyDescent="0.3">
      <c r="A9" t="s">
        <v>18</v>
      </c>
    </row>
    <row r="10" spans="1:1" x14ac:dyDescent="0.3">
      <c r="A10" t="s">
        <v>19</v>
      </c>
    </row>
    <row r="11" spans="1:1" x14ac:dyDescent="0.3">
      <c r="A11" t="s">
        <v>20</v>
      </c>
    </row>
    <row r="12" spans="1:1" x14ac:dyDescent="0.3">
      <c r="A12" t="s">
        <v>21</v>
      </c>
    </row>
    <row r="13" spans="1:1" x14ac:dyDescent="0.3">
      <c r="A13" t="s">
        <v>22</v>
      </c>
    </row>
    <row r="15" spans="1:1" x14ac:dyDescent="0.3">
      <c r="A1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PricePerPack</vt:lpstr>
      <vt:lpstr>MarginPrices</vt:lpstr>
      <vt:lpstr>Log</vt:lpstr>
    </vt:vector>
  </TitlesOfParts>
  <Company>HM Land Registry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Gorgula, Ramu</dc:creator>
  <cp:lastModifiedBy>Gorgula, Ramu</cp:lastModifiedBy>
  <dcterms:created xsi:type="dcterms:W3CDTF">2025-07-03T10:03:44Z</dcterms:created>
  <dcterms:modified xsi:type="dcterms:W3CDTF">2025-07-03T10:55:45Z</dcterms:modified>
</cp:coreProperties>
</file>